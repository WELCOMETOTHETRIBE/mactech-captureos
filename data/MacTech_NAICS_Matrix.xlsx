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ICS Matrix" sheetId="1" state="visible" r:id="rId3"/>
    <sheet name="Capture Tool Summary" sheetId="2" state="visible" r:id="rId4"/>
    <sheet name="Founder Cover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<sst xmlns="http://schemas.openxmlformats.org/spreadsheetml/2006/main" count="231" uniqueCount="100">
  <si>
    <t xml:space="preserve">MacTech Solutions LLC — SAM.gov NAICS Code Matrix (Pre-Filled)</t>
  </si>
  <si>
    <t xml:space="preserve">Pre-assigned from the Leadership page. "X" = that founder is a natural SME/key-personnel fit for the code. "P" in Tier column = MacTech PRIMARY candidate; "S" = Secondary.</t>
  </si>
  <si>
    <t xml:space="preserve">#</t>
  </si>
  <si>
    <t xml:space="preserve">NAICS</t>
  </si>
  <si>
    <t xml:space="preserve">Title</t>
  </si>
  <si>
    <t xml:space="preserve">Why It Fits MacTech</t>
  </si>
  <si>
    <t xml:space="preserve">Tier</t>
  </si>
  <si>
    <t xml:space="preserve">Brian
(Quality)</t>
  </si>
  <si>
    <t xml:space="preserve">Patrick
(Security)</t>
  </si>
  <si>
    <t xml:space="preserve">James
(Infrastructure)</t>
  </si>
  <si>
    <t xml:space="preserve">John
(Governance)</t>
  </si>
  <si>
    <t xml:space="preserve">541519</t>
  </si>
  <si>
    <t xml:space="preserve">Other Computer Related Services</t>
  </si>
  <si>
    <t xml:space="preserve">De-facto DoD cyber primary — IA, RMF, CMMC, ConMon</t>
  </si>
  <si>
    <t xml:space="preserve">P</t>
  </si>
  <si>
    <t xml:space="preserve">X</t>
  </si>
  <si>
    <t xml:space="preserve">541512</t>
  </si>
  <si>
    <t xml:space="preserve">Computer Systems Design Services</t>
  </si>
  <si>
    <t xml:space="preserve">Core IT/cyber contracting — systems integration, architecture</t>
  </si>
  <si>
    <t xml:space="preserve">518210</t>
  </si>
  <si>
    <t xml:space="preserve">Computing Infrastructure Providers, Data Processing, Hosting</t>
  </si>
  <si>
    <t xml:space="preserve">Cloud migration, hosting, FedRAMP Moderate-aligned design</t>
  </si>
  <si>
    <t xml:space="preserve">541513</t>
  </si>
  <si>
    <t xml:space="preserve">Computer Facilities Management Services</t>
  </si>
  <si>
    <t xml:space="preserve">ConMon, managed security, data center operations</t>
  </si>
  <si>
    <t xml:space="preserve">541611</t>
  </si>
  <si>
    <t xml:space="preserve">Administrative Management &amp; General Management Consulting</t>
  </si>
  <si>
    <t xml:space="preserve">Governance, operations consulting umbrella</t>
  </si>
  <si>
    <t xml:space="preserve">541330</t>
  </si>
  <si>
    <t xml:space="preserve">Engineering Services</t>
  </si>
  <si>
    <t xml:space="preserve">Systems engineering, infrastructure architecture</t>
  </si>
  <si>
    <t xml:space="preserve">541380</t>
  </si>
  <si>
    <t xml:space="preserve">Testing Laboratories</t>
  </si>
  <si>
    <t xml:space="preserve">ISO 17025 metrology, calibration, test — rare differentiator</t>
  </si>
  <si>
    <t xml:space="preserve">541110</t>
  </si>
  <si>
    <t xml:space="preserve">Offices of Lawyers</t>
  </si>
  <si>
    <t xml:space="preserve">John's bar licensure (MA + RI) — direct legal practice</t>
  </si>
  <si>
    <t xml:space="preserve">541618</t>
  </si>
  <si>
    <t xml:space="preserve">Other Management Consulting Services</t>
  </si>
  <si>
    <t xml:space="preserve">Risk advisory, compliance consulting</t>
  </si>
  <si>
    <t xml:space="preserve">S</t>
  </si>
  <si>
    <t xml:space="preserve">541511</t>
  </si>
  <si>
    <t xml:space="preserve">Custom Computer Programming Services</t>
  </si>
  <si>
    <t xml:space="preserve">Vault, governance tooling, Infrastructure as Code</t>
  </si>
  <si>
    <t xml:space="preserve">541614</t>
  </si>
  <si>
    <t xml:space="preserve">Process, Physical Distribution &amp; Logistics Consulting</t>
  </si>
  <si>
    <t xml:space="preserve">Process documentation, QMS design</t>
  </si>
  <si>
    <t xml:space="preserve">611420</t>
  </si>
  <si>
    <t xml:space="preserve">Computer Training</t>
  </si>
  <si>
    <t xml:space="preserve">CMMC, RMF, STIG training delivery</t>
  </si>
  <si>
    <t xml:space="preserve">611430</t>
  </si>
  <si>
    <t xml:space="preserve">Professional &amp; Management Development Training</t>
  </si>
  <si>
    <t xml:space="preserve">Audit-readiness, compliance, and governance training</t>
  </si>
  <si>
    <t xml:space="preserve">541199</t>
  </si>
  <si>
    <t xml:space="preserve">All Other Legal Services</t>
  </si>
  <si>
    <t xml:space="preserve">Contract review, compliance-adjacent legal work</t>
  </si>
  <si>
    <t xml:space="preserve">561621</t>
  </si>
  <si>
    <t xml:space="preserve">Security Systems Services (except Locksmiths)</t>
  </si>
  <si>
    <t xml:space="preserve">Physical + logical security systems</t>
  </si>
  <si>
    <t xml:space="preserve">561210</t>
  </si>
  <si>
    <t xml:space="preserve">Facilities Support Services</t>
  </si>
  <si>
    <t xml:space="preserve">Data center operations, integrated facilities support</t>
  </si>
  <si>
    <t xml:space="preserve">541715</t>
  </si>
  <si>
    <t xml:space="preserve">R&amp;D in Physical, Engineering &amp; Life Sciences</t>
  </si>
  <si>
    <t xml:space="preserve">Defense R&amp;D, security/infra tool and platform development</t>
  </si>
  <si>
    <t xml:space="preserve">541690</t>
  </si>
  <si>
    <t xml:space="preserve">Other Scientific and Technical Consulting Services</t>
  </si>
  <si>
    <t xml:space="preserve">Technical SME advisory — applies across all pillars</t>
  </si>
  <si>
    <t xml:space="preserve">541990</t>
  </si>
  <si>
    <t xml:space="preserve">All Other Professional, Scientific &amp; Technical Services</t>
  </si>
  <si>
    <t xml:space="preserve">Catch-all for hybrid federal professional services</t>
  </si>
  <si>
    <t xml:space="preserve">611710</t>
  </si>
  <si>
    <t xml:space="preserve">Educational Support Services</t>
  </si>
  <si>
    <t xml:space="preserve">Curriculum design, training program support</t>
  </si>
  <si>
    <t xml:space="preserve">TOTALS →</t>
  </si>
  <si>
    <t xml:space="preserve">Capture Tool Feed — NAICS × Key Personnel Mapping</t>
  </si>
  <si>
    <t xml:space="preserve">Machine-readable view for capture automation: which codes MacTech should register, and which founders are proposal-ready as key personnel per code.</t>
  </si>
  <si>
    <t xml:space="preserve">Key Personnel (comma-sep)</t>
  </si>
  <si>
    <t xml:space="preserve"># SMEs</t>
  </si>
  <si>
    <t xml:space="preserve">Patrick Caruso, James Adams</t>
  </si>
  <si>
    <t xml:space="preserve">Brian MacDonald, John Milso</t>
  </si>
  <si>
    <t xml:space="preserve">James Adams</t>
  </si>
  <si>
    <t xml:space="preserve">Brian MacDonald</t>
  </si>
  <si>
    <t xml:space="preserve">John Milso</t>
  </si>
  <si>
    <t xml:space="preserve">Patrick Caruso</t>
  </si>
  <si>
    <t xml:space="preserve">Brian MacDonald, Patrick Caruso, James Adams, John Milso</t>
  </si>
  <si>
    <t xml:space="preserve">Brian MacDonald, Patrick Caruso</t>
  </si>
  <si>
    <t xml:space="preserve">Founder Coverage Summary</t>
  </si>
  <si>
    <t xml:space="preserve">Founder</t>
  </si>
  <si>
    <t xml:space="preserve">Pillar</t>
  </si>
  <si>
    <t xml:space="preserve">NAICS Count</t>
  </si>
  <si>
    <t xml:space="preserve">Codes Assigned</t>
  </si>
  <si>
    <t xml:space="preserve">Quality</t>
  </si>
  <si>
    <t xml:space="preserve">541611, 541380, 541618, 541614, 611430, 541690, 541990, 611710</t>
  </si>
  <si>
    <t xml:space="preserve">Security</t>
  </si>
  <si>
    <t xml:space="preserve">541519, 541512, 518210, 541513, 611420, 561621, 541715, 541690, 541990, 611710</t>
  </si>
  <si>
    <t xml:space="preserve">Infrastructure</t>
  </si>
  <si>
    <t xml:space="preserve">541519, 541512, 518210, 541513, 541330, 541511, 561210, 541715, 541690, 541990</t>
  </si>
  <si>
    <t xml:space="preserve">Governance</t>
  </si>
  <si>
    <t xml:space="preserve">541611, 541110, 541618, 611430, 541199, 541690, 541990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</si>
</sst>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8EEF4"/>
        <bgColor rgb="FFFFFFFF"/>
      </patternFill>
    </fill>
    <fill>
      <patternFill patternType="solid">
        <fgColor rgb="FF4A7BA7"/>
        <bgColor rgb="FF808080"/>
      </patternFill>
    </fill>
    <fill>
      <patternFill patternType="solid">
        <fgColor rgb="FFFFFFFF"/>
        <bgColor rgb="FFE8EEF4"/>
      </patternFill>
    </fill>
    <fill>
      <patternFill patternType="solid">
        <fgColor rgb="FFC6E0B4"/>
        <bgColor rgb="FFB8C4D3"/>
      </patternFill>
    </fill>
    <fill>
      <patternFill patternType="solid">
        <fgColor rgb="FFFFF4CC"/>
        <bgColor rgb="FFE8EEF4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3"/>
      </left>
      <right style="thin">
        <color rgb="FFB8C4D3"/>
      </right>
      <top style="thin">
        <color rgb="FFB8C4D3"/>
      </top>
      <bottom style="thin">
        <color rgb="FFB8C4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3"/>
      <rgbColor rgb="FF808080"/>
      <rgbColor rgb="FF9999FF"/>
      <rgbColor rgb="FF993366"/>
      <rgbColor rgb="FFFFF4CC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BA7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48"/>
    <col collapsed="false" customWidth="true" hidden="false" outlineLevel="0" max="5" min="5" style="0" width="7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1.5" hidden="false" customHeight="true" outlineLevel="0" collapsed="false">
      <c r="A5" s="4" t="n">
        <v>1</v>
      </c>
      <c r="B5" s="5" t="s">
        <v>11</v>
      </c>
      <c r="C5" s="6" t="s">
        <v>12</v>
      </c>
      <c r="D5" s="6" t="s">
        <v>13</v>
      </c>
      <c r="E5" s="7" t="s">
        <v>14</v>
      </c>
      <c r="F5" s="8"/>
      <c r="G5" s="9" t="s">
        <v>15</v>
      </c>
      <c r="H5" s="9" t="s">
        <v>15</v>
      </c>
      <c r="I5" s="8"/>
    </row>
    <row r="6" customFormat="false" ht="31.5" hidden="false" customHeight="true" outlineLevel="0" collapsed="false">
      <c r="A6" s="10" t="n">
        <v>2</v>
      </c>
      <c r="B6" s="11" t="s">
        <v>16</v>
      </c>
      <c r="C6" s="12" t="s">
        <v>17</v>
      </c>
      <c r="D6" s="12" t="s">
        <v>18</v>
      </c>
      <c r="E6" s="7" t="s">
        <v>14</v>
      </c>
      <c r="F6" s="8"/>
      <c r="G6" s="9" t="s">
        <v>15</v>
      </c>
      <c r="H6" s="9" t="s">
        <v>15</v>
      </c>
      <c r="I6" s="8"/>
    </row>
    <row r="7" customFormat="false" ht="31.5" hidden="false" customHeight="true" outlineLevel="0" collapsed="false">
      <c r="A7" s="4" t="n">
        <v>3</v>
      </c>
      <c r="B7" s="5" t="s">
        <v>19</v>
      </c>
      <c r="C7" s="6" t="s">
        <v>20</v>
      </c>
      <c r="D7" s="6" t="s">
        <v>21</v>
      </c>
      <c r="E7" s="7" t="s">
        <v>14</v>
      </c>
      <c r="F7" s="8"/>
      <c r="G7" s="9" t="s">
        <v>15</v>
      </c>
      <c r="H7" s="9" t="s">
        <v>15</v>
      </c>
      <c r="I7" s="8"/>
    </row>
    <row r="8" customFormat="false" ht="31.5" hidden="false" customHeight="true" outlineLevel="0" collapsed="false">
      <c r="A8" s="10" t="n">
        <v>4</v>
      </c>
      <c r="B8" s="11" t="s">
        <v>22</v>
      </c>
      <c r="C8" s="12" t="s">
        <v>23</v>
      </c>
      <c r="D8" s="12" t="s">
        <v>24</v>
      </c>
      <c r="E8" s="7" t="s">
        <v>14</v>
      </c>
      <c r="F8" s="8"/>
      <c r="G8" s="9" t="s">
        <v>15</v>
      </c>
      <c r="H8" s="9" t="s">
        <v>15</v>
      </c>
      <c r="I8" s="8"/>
    </row>
    <row r="9" customFormat="false" ht="31.5" hidden="false" customHeight="true" outlineLevel="0" collapsed="false">
      <c r="A9" s="4" t="n">
        <v>5</v>
      </c>
      <c r="B9" s="5" t="s">
        <v>25</v>
      </c>
      <c r="C9" s="6" t="s">
        <v>26</v>
      </c>
      <c r="D9" s="6" t="s">
        <v>27</v>
      </c>
      <c r="E9" s="7" t="s">
        <v>14</v>
      </c>
      <c r="F9" s="9" t="s">
        <v>15</v>
      </c>
      <c r="G9" s="8"/>
      <c r="H9" s="8"/>
      <c r="I9" s="9" t="s">
        <v>15</v>
      </c>
    </row>
    <row r="10" customFormat="false" ht="31.5" hidden="false" customHeight="true" outlineLevel="0" collapsed="false">
      <c r="A10" s="10" t="n">
        <v>6</v>
      </c>
      <c r="B10" s="11" t="s">
        <v>28</v>
      </c>
      <c r="C10" s="12" t="s">
        <v>29</v>
      </c>
      <c r="D10" s="12" t="s">
        <v>30</v>
      </c>
      <c r="E10" s="7" t="s">
        <v>14</v>
      </c>
      <c r="F10" s="8"/>
      <c r="G10" s="8"/>
      <c r="H10" s="9" t="s">
        <v>15</v>
      </c>
      <c r="I10" s="8"/>
    </row>
    <row r="11" customFormat="false" ht="31.5" hidden="false" customHeight="true" outlineLevel="0" collapsed="false">
      <c r="A11" s="4" t="n">
        <v>7</v>
      </c>
      <c r="B11" s="5" t="s">
        <v>31</v>
      </c>
      <c r="C11" s="6" t="s">
        <v>32</v>
      </c>
      <c r="D11" s="6" t="s">
        <v>33</v>
      </c>
      <c r="E11" s="7" t="s">
        <v>14</v>
      </c>
      <c r="F11" s="9" t="s">
        <v>15</v>
      </c>
      <c r="G11" s="8"/>
      <c r="H11" s="8"/>
      <c r="I11" s="8"/>
    </row>
    <row r="12" customFormat="false" ht="31.5" hidden="false" customHeight="true" outlineLevel="0" collapsed="false">
      <c r="A12" s="10" t="n">
        <v>8</v>
      </c>
      <c r="B12" s="11" t="s">
        <v>34</v>
      </c>
      <c r="C12" s="12" t="s">
        <v>35</v>
      </c>
      <c r="D12" s="12" t="s">
        <v>36</v>
      </c>
      <c r="E12" s="7" t="s">
        <v>14</v>
      </c>
      <c r="F12" s="8"/>
      <c r="G12" s="8"/>
      <c r="H12" s="8"/>
      <c r="I12" s="9" t="s">
        <v>15</v>
      </c>
    </row>
    <row r="13" customFormat="false" ht="31.5" hidden="false" customHeight="true" outlineLevel="0" collapsed="false">
      <c r="A13" s="4" t="n">
        <v>9</v>
      </c>
      <c r="B13" s="5" t="s">
        <v>37</v>
      </c>
      <c r="C13" s="6" t="s">
        <v>38</v>
      </c>
      <c r="D13" s="6" t="s">
        <v>39</v>
      </c>
      <c r="E13" s="13" t="s">
        <v>40</v>
      </c>
      <c r="F13" s="9" t="s">
        <v>15</v>
      </c>
      <c r="G13" s="8"/>
      <c r="H13" s="8"/>
      <c r="I13" s="9" t="s">
        <v>15</v>
      </c>
    </row>
    <row r="14" customFormat="false" ht="31.5" hidden="false" customHeight="true" outlineLevel="0" collapsed="false">
      <c r="A14" s="10" t="n">
        <v>10</v>
      </c>
      <c r="B14" s="11" t="s">
        <v>41</v>
      </c>
      <c r="C14" s="12" t="s">
        <v>42</v>
      </c>
      <c r="D14" s="12" t="s">
        <v>43</v>
      </c>
      <c r="E14" s="13" t="s">
        <v>40</v>
      </c>
      <c r="F14" s="8"/>
      <c r="G14" s="8"/>
      <c r="H14" s="9" t="s">
        <v>15</v>
      </c>
      <c r="I14" s="8"/>
    </row>
    <row r="15" customFormat="false" ht="31.5" hidden="false" customHeight="true" outlineLevel="0" collapsed="false">
      <c r="A15" s="4" t="n">
        <v>11</v>
      </c>
      <c r="B15" s="5" t="s">
        <v>44</v>
      </c>
      <c r="C15" s="6" t="s">
        <v>45</v>
      </c>
      <c r="D15" s="6" t="s">
        <v>46</v>
      </c>
      <c r="E15" s="13" t="s">
        <v>40</v>
      </c>
      <c r="F15" s="9" t="s">
        <v>15</v>
      </c>
      <c r="G15" s="8"/>
      <c r="H15" s="8"/>
      <c r="I15" s="8"/>
    </row>
    <row r="16" customFormat="false" ht="31.5" hidden="false" customHeight="true" outlineLevel="0" collapsed="false">
      <c r="A16" s="10" t="n">
        <v>12</v>
      </c>
      <c r="B16" s="11" t="s">
        <v>47</v>
      </c>
      <c r="C16" s="12" t="s">
        <v>48</v>
      </c>
      <c r="D16" s="12" t="s">
        <v>49</v>
      </c>
      <c r="E16" s="13" t="s">
        <v>40</v>
      </c>
      <c r="F16" s="8"/>
      <c r="G16" s="9" t="s">
        <v>15</v>
      </c>
      <c r="H16" s="8"/>
      <c r="I16" s="8"/>
    </row>
    <row r="17" customFormat="false" ht="31.5" hidden="false" customHeight="true" outlineLevel="0" collapsed="false">
      <c r="A17" s="4" t="n">
        <v>13</v>
      </c>
      <c r="B17" s="5" t="s">
        <v>50</v>
      </c>
      <c r="C17" s="6" t="s">
        <v>51</v>
      </c>
      <c r="D17" s="6" t="s">
        <v>52</v>
      </c>
      <c r="E17" s="13" t="s">
        <v>40</v>
      </c>
      <c r="F17" s="9" t="s">
        <v>15</v>
      </c>
      <c r="G17" s="8"/>
      <c r="H17" s="8"/>
      <c r="I17" s="9" t="s">
        <v>15</v>
      </c>
    </row>
    <row r="18" customFormat="false" ht="31.5" hidden="false" customHeight="true" outlineLevel="0" collapsed="false">
      <c r="A18" s="10" t="n">
        <v>14</v>
      </c>
      <c r="B18" s="11" t="s">
        <v>53</v>
      </c>
      <c r="C18" s="12" t="s">
        <v>54</v>
      </c>
      <c r="D18" s="12" t="s">
        <v>55</v>
      </c>
      <c r="E18" s="13" t="s">
        <v>40</v>
      </c>
      <c r="F18" s="8"/>
      <c r="G18" s="8"/>
      <c r="H18" s="8"/>
      <c r="I18" s="9" t="s">
        <v>15</v>
      </c>
    </row>
    <row r="19" customFormat="false" ht="31.5" hidden="false" customHeight="true" outlineLevel="0" collapsed="false">
      <c r="A19" s="4" t="n">
        <v>15</v>
      </c>
      <c r="B19" s="5" t="s">
        <v>56</v>
      </c>
      <c r="C19" s="6" t="s">
        <v>57</v>
      </c>
      <c r="D19" s="6" t="s">
        <v>58</v>
      </c>
      <c r="E19" s="13" t="s">
        <v>40</v>
      </c>
      <c r="F19" s="8"/>
      <c r="G19" s="9" t="s">
        <v>15</v>
      </c>
      <c r="H19" s="8"/>
      <c r="I19" s="8"/>
    </row>
    <row r="20" customFormat="false" ht="31.5" hidden="false" customHeight="true" outlineLevel="0" collapsed="false">
      <c r="A20" s="10" t="n">
        <v>16</v>
      </c>
      <c r="B20" s="11" t="s">
        <v>59</v>
      </c>
      <c r="C20" s="12" t="s">
        <v>60</v>
      </c>
      <c r="D20" s="12" t="s">
        <v>61</v>
      </c>
      <c r="E20" s="13" t="s">
        <v>40</v>
      </c>
      <c r="F20" s="8"/>
      <c r="G20" s="8"/>
      <c r="H20" s="9" t="s">
        <v>15</v>
      </c>
      <c r="I20" s="8"/>
    </row>
    <row r="21" customFormat="false" ht="31.5" hidden="false" customHeight="true" outlineLevel="0" collapsed="false">
      <c r="A21" s="4" t="n">
        <v>17</v>
      </c>
      <c r="B21" s="5" t="s">
        <v>62</v>
      </c>
      <c r="C21" s="6" t="s">
        <v>63</v>
      </c>
      <c r="D21" s="6" t="s">
        <v>64</v>
      </c>
      <c r="E21" s="13" t="s">
        <v>40</v>
      </c>
      <c r="F21" s="8"/>
      <c r="G21" s="9" t="s">
        <v>15</v>
      </c>
      <c r="H21" s="9" t="s">
        <v>15</v>
      </c>
      <c r="I21" s="8"/>
    </row>
    <row r="22" customFormat="false" ht="31.5" hidden="false" customHeight="true" outlineLevel="0" collapsed="false">
      <c r="A22" s="10" t="n">
        <v>18</v>
      </c>
      <c r="B22" s="11" t="s">
        <v>65</v>
      </c>
      <c r="C22" s="12" t="s">
        <v>66</v>
      </c>
      <c r="D22" s="12" t="s">
        <v>67</v>
      </c>
      <c r="E22" s="13" t="s">
        <v>40</v>
      </c>
      <c r="F22" s="9" t="s">
        <v>15</v>
      </c>
      <c r="G22" s="9" t="s">
        <v>15</v>
      </c>
      <c r="H22" s="9" t="s">
        <v>15</v>
      </c>
      <c r="I22" s="9" t="s">
        <v>15</v>
      </c>
    </row>
    <row r="23" customFormat="false" ht="31.5" hidden="false" customHeight="true" outlineLevel="0" collapsed="false">
      <c r="A23" s="4" t="n">
        <v>19</v>
      </c>
      <c r="B23" s="5" t="s">
        <v>68</v>
      </c>
      <c r="C23" s="6" t="s">
        <v>69</v>
      </c>
      <c r="D23" s="6" t="s">
        <v>70</v>
      </c>
      <c r="E23" s="13" t="s">
        <v>40</v>
      </c>
      <c r="F23" s="9" t="s">
        <v>15</v>
      </c>
      <c r="G23" s="9" t="s">
        <v>15</v>
      </c>
      <c r="H23" s="9" t="s">
        <v>15</v>
      </c>
      <c r="I23" s="9" t="s">
        <v>15</v>
      </c>
    </row>
    <row r="24" customFormat="false" ht="31.5" hidden="false" customHeight="true" outlineLevel="0" collapsed="false">
      <c r="A24" s="10" t="n">
        <v>20</v>
      </c>
      <c r="B24" s="11" t="s">
        <v>71</v>
      </c>
      <c r="C24" s="12" t="s">
        <v>72</v>
      </c>
      <c r="D24" s="12" t="s">
        <v>73</v>
      </c>
      <c r="E24" s="13" t="s">
        <v>40</v>
      </c>
      <c r="F24" s="9" t="s">
        <v>15</v>
      </c>
      <c r="G24" s="9" t="s">
        <v>15</v>
      </c>
      <c r="H24" s="8"/>
      <c r="I24" s="8"/>
    </row>
    <row r="25" customFormat="false" ht="25.5" hidden="false" customHeight="true" outlineLevel="0" collapsed="false">
      <c r="A25" s="14"/>
      <c r="B25" s="14"/>
      <c r="C25" s="14"/>
      <c r="D25" s="14"/>
      <c r="E25" s="15" t="s">
        <v>74</v>
      </c>
      <c r="F25" s="16" t="n">
        <f aca="false">COUNTA(F5:F24)</f>
        <v>8</v>
      </c>
      <c r="G25" s="16" t="n">
        <f aca="false">COUNTA(G5:G24)</f>
        <v>10</v>
      </c>
      <c r="H25" s="16" t="n">
        <f aca="false">COUNTA(H5:H24)</f>
        <v>10</v>
      </c>
      <c r="I25" s="16" t="n">
        <f aca="false">COUNTA(I5:I24)</f>
        <v>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48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</row>
    <row r="2" customFormat="false" ht="24" hidden="false" customHeight="true" outlineLevel="0" collapsed="false">
      <c r="A2" s="2" t="s">
        <v>76</v>
      </c>
      <c r="B2" s="2"/>
      <c r="C2" s="2"/>
      <c r="D2" s="2"/>
      <c r="E2" s="2"/>
    </row>
    <row r="4" customFormat="false" ht="24" hidden="false" customHeight="true" outlineLevel="0" collapsed="false">
      <c r="A4" s="17" t="s">
        <v>3</v>
      </c>
      <c r="B4" s="17" t="s">
        <v>6</v>
      </c>
      <c r="C4" s="17" t="s">
        <v>4</v>
      </c>
      <c r="D4" s="17" t="s">
        <v>77</v>
      </c>
      <c r="E4" s="17" t="s">
        <v>78</v>
      </c>
    </row>
    <row r="5" customFormat="false" ht="27.75" hidden="false" customHeight="true" outlineLevel="0" collapsed="false">
      <c r="A5" s="5" t="s">
        <v>11</v>
      </c>
      <c r="B5" s="7" t="s">
        <v>14</v>
      </c>
      <c r="C5" s="6" t="s">
        <v>12</v>
      </c>
      <c r="D5" s="6" t="s">
        <v>79</v>
      </c>
      <c r="E5" s="5" t="n">
        <v>2</v>
      </c>
    </row>
    <row r="6" customFormat="false" ht="27.75" hidden="false" customHeight="true" outlineLevel="0" collapsed="false">
      <c r="A6" s="11" t="s">
        <v>16</v>
      </c>
      <c r="B6" s="7" t="s">
        <v>14</v>
      </c>
      <c r="C6" s="12" t="s">
        <v>17</v>
      </c>
      <c r="D6" s="12" t="s">
        <v>79</v>
      </c>
      <c r="E6" s="11" t="n">
        <v>2</v>
      </c>
    </row>
    <row r="7" customFormat="false" ht="27.75" hidden="false" customHeight="true" outlineLevel="0" collapsed="false">
      <c r="A7" s="5" t="s">
        <v>19</v>
      </c>
      <c r="B7" s="7" t="s">
        <v>14</v>
      </c>
      <c r="C7" s="6" t="s">
        <v>20</v>
      </c>
      <c r="D7" s="6" t="s">
        <v>79</v>
      </c>
      <c r="E7" s="5" t="n">
        <v>2</v>
      </c>
    </row>
    <row r="8" customFormat="false" ht="27.75" hidden="false" customHeight="true" outlineLevel="0" collapsed="false">
      <c r="A8" s="11" t="s">
        <v>22</v>
      </c>
      <c r="B8" s="7" t="s">
        <v>14</v>
      </c>
      <c r="C8" s="12" t="s">
        <v>23</v>
      </c>
      <c r="D8" s="12" t="s">
        <v>79</v>
      </c>
      <c r="E8" s="11" t="n">
        <v>2</v>
      </c>
    </row>
    <row r="9" customFormat="false" ht="27.75" hidden="false" customHeight="true" outlineLevel="0" collapsed="false">
      <c r="A9" s="5" t="s">
        <v>25</v>
      </c>
      <c r="B9" s="7" t="s">
        <v>14</v>
      </c>
      <c r="C9" s="6" t="s">
        <v>26</v>
      </c>
      <c r="D9" s="6" t="s">
        <v>80</v>
      </c>
      <c r="E9" s="5" t="n">
        <v>2</v>
      </c>
    </row>
    <row r="10" customFormat="false" ht="27.75" hidden="false" customHeight="true" outlineLevel="0" collapsed="false">
      <c r="A10" s="11" t="s">
        <v>28</v>
      </c>
      <c r="B10" s="7" t="s">
        <v>14</v>
      </c>
      <c r="C10" s="12" t="s">
        <v>29</v>
      </c>
      <c r="D10" s="12" t="s">
        <v>81</v>
      </c>
      <c r="E10" s="11" t="n">
        <v>1</v>
      </c>
    </row>
    <row r="11" customFormat="false" ht="27.75" hidden="false" customHeight="true" outlineLevel="0" collapsed="false">
      <c r="A11" s="5" t="s">
        <v>31</v>
      </c>
      <c r="B11" s="7" t="s">
        <v>14</v>
      </c>
      <c r="C11" s="6" t="s">
        <v>32</v>
      </c>
      <c r="D11" s="6" t="s">
        <v>82</v>
      </c>
      <c r="E11" s="5" t="n">
        <v>1</v>
      </c>
    </row>
    <row r="12" customFormat="false" ht="27.75" hidden="false" customHeight="true" outlineLevel="0" collapsed="false">
      <c r="A12" s="11" t="s">
        <v>34</v>
      </c>
      <c r="B12" s="7" t="s">
        <v>14</v>
      </c>
      <c r="C12" s="12" t="s">
        <v>35</v>
      </c>
      <c r="D12" s="12" t="s">
        <v>83</v>
      </c>
      <c r="E12" s="11" t="n">
        <v>1</v>
      </c>
    </row>
    <row r="13" customFormat="false" ht="27.75" hidden="false" customHeight="true" outlineLevel="0" collapsed="false">
      <c r="A13" s="5" t="s">
        <v>37</v>
      </c>
      <c r="B13" s="13" t="s">
        <v>40</v>
      </c>
      <c r="C13" s="6" t="s">
        <v>38</v>
      </c>
      <c r="D13" s="6" t="s">
        <v>80</v>
      </c>
      <c r="E13" s="5" t="n">
        <v>2</v>
      </c>
    </row>
    <row r="14" customFormat="false" ht="27.75" hidden="false" customHeight="true" outlineLevel="0" collapsed="false">
      <c r="A14" s="11" t="s">
        <v>41</v>
      </c>
      <c r="B14" s="13" t="s">
        <v>40</v>
      </c>
      <c r="C14" s="12" t="s">
        <v>42</v>
      </c>
      <c r="D14" s="12" t="s">
        <v>81</v>
      </c>
      <c r="E14" s="11" t="n">
        <v>1</v>
      </c>
    </row>
    <row r="15" customFormat="false" ht="27.75" hidden="false" customHeight="true" outlineLevel="0" collapsed="false">
      <c r="A15" s="5" t="s">
        <v>44</v>
      </c>
      <c r="B15" s="13" t="s">
        <v>40</v>
      </c>
      <c r="C15" s="6" t="s">
        <v>45</v>
      </c>
      <c r="D15" s="6" t="s">
        <v>82</v>
      </c>
      <c r="E15" s="5" t="n">
        <v>1</v>
      </c>
    </row>
    <row r="16" customFormat="false" ht="27.75" hidden="false" customHeight="true" outlineLevel="0" collapsed="false">
      <c r="A16" s="11" t="s">
        <v>47</v>
      </c>
      <c r="B16" s="13" t="s">
        <v>40</v>
      </c>
      <c r="C16" s="12" t="s">
        <v>48</v>
      </c>
      <c r="D16" s="12" t="s">
        <v>84</v>
      </c>
      <c r="E16" s="11" t="n">
        <v>1</v>
      </c>
    </row>
    <row r="17" customFormat="false" ht="27.75" hidden="false" customHeight="true" outlineLevel="0" collapsed="false">
      <c r="A17" s="5" t="s">
        <v>50</v>
      </c>
      <c r="B17" s="13" t="s">
        <v>40</v>
      </c>
      <c r="C17" s="6" t="s">
        <v>51</v>
      </c>
      <c r="D17" s="6" t="s">
        <v>80</v>
      </c>
      <c r="E17" s="5" t="n">
        <v>2</v>
      </c>
    </row>
    <row r="18" customFormat="false" ht="27.75" hidden="false" customHeight="true" outlineLevel="0" collapsed="false">
      <c r="A18" s="11" t="s">
        <v>53</v>
      </c>
      <c r="B18" s="13" t="s">
        <v>40</v>
      </c>
      <c r="C18" s="12" t="s">
        <v>54</v>
      </c>
      <c r="D18" s="12" t="s">
        <v>83</v>
      </c>
      <c r="E18" s="11" t="n">
        <v>1</v>
      </c>
    </row>
    <row r="19" customFormat="false" ht="27.75" hidden="false" customHeight="true" outlineLevel="0" collapsed="false">
      <c r="A19" s="5" t="s">
        <v>56</v>
      </c>
      <c r="B19" s="13" t="s">
        <v>40</v>
      </c>
      <c r="C19" s="6" t="s">
        <v>57</v>
      </c>
      <c r="D19" s="6" t="s">
        <v>84</v>
      </c>
      <c r="E19" s="5" t="n">
        <v>1</v>
      </c>
    </row>
    <row r="20" customFormat="false" ht="27.75" hidden="false" customHeight="true" outlineLevel="0" collapsed="false">
      <c r="A20" s="11" t="s">
        <v>59</v>
      </c>
      <c r="B20" s="13" t="s">
        <v>40</v>
      </c>
      <c r="C20" s="12" t="s">
        <v>60</v>
      </c>
      <c r="D20" s="12" t="s">
        <v>81</v>
      </c>
      <c r="E20" s="11" t="n">
        <v>1</v>
      </c>
    </row>
    <row r="21" customFormat="false" ht="27.75" hidden="false" customHeight="true" outlineLevel="0" collapsed="false">
      <c r="A21" s="5" t="s">
        <v>62</v>
      </c>
      <c r="B21" s="13" t="s">
        <v>40</v>
      </c>
      <c r="C21" s="6" t="s">
        <v>63</v>
      </c>
      <c r="D21" s="6" t="s">
        <v>79</v>
      </c>
      <c r="E21" s="5" t="n">
        <v>2</v>
      </c>
    </row>
    <row r="22" customFormat="false" ht="27.75" hidden="false" customHeight="true" outlineLevel="0" collapsed="false">
      <c r="A22" s="11" t="s">
        <v>65</v>
      </c>
      <c r="B22" s="13" t="s">
        <v>40</v>
      </c>
      <c r="C22" s="12" t="s">
        <v>66</v>
      </c>
      <c r="D22" s="12" t="s">
        <v>85</v>
      </c>
      <c r="E22" s="11" t="n">
        <v>4</v>
      </c>
    </row>
    <row r="23" customFormat="false" ht="27.75" hidden="false" customHeight="true" outlineLevel="0" collapsed="false">
      <c r="A23" s="5" t="s">
        <v>68</v>
      </c>
      <c r="B23" s="13" t="s">
        <v>40</v>
      </c>
      <c r="C23" s="6" t="s">
        <v>69</v>
      </c>
      <c r="D23" s="6" t="s">
        <v>85</v>
      </c>
      <c r="E23" s="5" t="n">
        <v>4</v>
      </c>
    </row>
    <row r="24" customFormat="false" ht="27.75" hidden="false" customHeight="true" outlineLevel="0" collapsed="false">
      <c r="A24" s="11" t="s">
        <v>71</v>
      </c>
      <c r="B24" s="13" t="s">
        <v>40</v>
      </c>
      <c r="C24" s="12" t="s">
        <v>72</v>
      </c>
      <c r="D24" s="12" t="s">
        <v>86</v>
      </c>
      <c r="E24" s="11" t="n">
        <v>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87</v>
      </c>
      <c r="B1" s="1"/>
      <c r="C1" s="1"/>
      <c r="D1" s="1"/>
    </row>
    <row r="3" customFormat="false" ht="24" hidden="false" customHeight="true" outlineLevel="0" collapsed="false">
      <c r="A3" s="17" t="s">
        <v>88</v>
      </c>
      <c r="B3" s="17" t="s">
        <v>89</v>
      </c>
      <c r="C3" s="17" t="s">
        <v>90</v>
      </c>
      <c r="D3" s="17" t="s">
        <v>91</v>
      </c>
    </row>
    <row r="4" customFormat="false" ht="39.75" hidden="false" customHeight="true" outlineLevel="0" collapsed="false">
      <c r="A4" s="18" t="s">
        <v>82</v>
      </c>
      <c r="B4" s="6" t="s">
        <v>92</v>
      </c>
      <c r="C4" s="19" t="n">
        <v>8</v>
      </c>
      <c r="D4" s="6" t="s">
        <v>93</v>
      </c>
    </row>
    <row r="5" customFormat="false" ht="39.75" hidden="false" customHeight="true" outlineLevel="0" collapsed="false">
      <c r="A5" s="20" t="s">
        <v>84</v>
      </c>
      <c r="B5" s="12" t="s">
        <v>94</v>
      </c>
      <c r="C5" s="21" t="n">
        <v>10</v>
      </c>
      <c r="D5" s="12" t="s">
        <v>95</v>
      </c>
    </row>
    <row r="6" customFormat="false" ht="39.75" hidden="false" customHeight="true" outlineLevel="0" collapsed="false">
      <c r="A6" s="18" t="s">
        <v>81</v>
      </c>
      <c r="B6" s="6" t="s">
        <v>96</v>
      </c>
      <c r="C6" s="19" t="n">
        <v>10</v>
      </c>
      <c r="D6" s="6" t="s">
        <v>97</v>
      </c>
    </row>
    <row r="7" customFormat="false" ht="39.75" hidden="false" customHeight="true" outlineLevel="0" collapsed="false">
      <c r="A7" s="20" t="s">
        <v>83</v>
      </c>
      <c r="B7" s="12" t="s">
        <v>98</v>
      </c>
      <c r="C7" s="21" t="n">
        <v>7</v>
      </c>
      <c r="D7" s="12" t="s">
        <v>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2026-04-24T18:34:20Z</dcterms:created>
  <dc:creator>openpyxl</dc:creator>
  <dc:description/>
  <dc:language>en-US</dc:language>
  <cp:lastModifiedBy/>
  <dcterms:modified xsi:type="dcterms:W3CDTF">2026-04-24T18:34:20Z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